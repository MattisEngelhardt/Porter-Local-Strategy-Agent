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FF111111"/>
      <sz val="14"/>
    </font>
    <font>
      <name val="Arial"/>
      <i val="1"/>
      <color rgb="FF2D2D2D"/>
      <sz val="9"/>
    </font>
    <font>
      <name val="Arial"/>
      <b val="1"/>
      <color rgb="FF111111"/>
    </font>
    <font>
      <name val="Arial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2D2D2D"/>
      </patternFill>
    </fill>
    <fill>
      <patternFill patternType="solid">
        <fgColor rgb="FF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3" fillId="4" borderId="0" pivotButton="0" quotePrefix="0" xfId="0"/>
    <xf numFmtId="164" fontId="3" fillId="4" borderId="0" pivotButton="0" quotePrefix="0" xfId="0"/>
    <xf numFmtId="0" fontId="0" fillId="0" borderId="0" applyAlignment="1" pivotButton="0" quotePrefix="0" xfId="0">
      <alignment horizontal="left" vertical="center" wrapText="1"/>
    </xf>
    <xf numFmtId="3" fontId="0" fillId="2" borderId="0" pivotButton="0" quotePrefix="0" xfId="0"/>
    <xf numFmtId="9" fontId="0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3" fontId="0" fillId="4" borderId="0" pivotButton="0" quotePrefix="0" xfId="0"/>
    <xf numFmtId="9" fontId="0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E2EFDA"/>
        </patternFill>
      </fill>
    </dxf>
    <dxf>
      <fill>
        <patternFill patternType="solid">
          <fgColor rgb="FFFFDD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Zusammenfassung</t>
        </is>
      </c>
    </row>
    <row r="2">
      <c r="A2" s="2" t="inlineStr">
        <is>
          <t>2026-06-01</t>
        </is>
      </c>
    </row>
    <row r="3">
      <c r="A3" s="2" t="inlineStr">
        <is>
          <t>Kennzahlen — formelbasiert.</t>
        </is>
      </c>
    </row>
    <row r="5">
      <c r="A5" s="3" t="inlineStr">
        <is>
          <t>Gesamtinvestition</t>
        </is>
      </c>
      <c r="B5" s="4">
        <f>Assumptions!$B$4</f>
        <v/>
      </c>
    </row>
    <row r="6">
      <c r="A6" s="3" t="inlineStr">
        <is>
          <t>NPV (3-5 J.)</t>
        </is>
      </c>
      <c r="B6" s="4">
        <f>-Assumptions!$B$4+NPV(Assumptions!$B$9,Projections!E7:E9)</f>
        <v/>
      </c>
    </row>
    <row r="7">
      <c r="A7" s="3" t="inlineStr">
        <is>
          <t>IRR</t>
        </is>
      </c>
      <c r="B7" s="5">
        <f>IFERROR(IRR(Projections!E6:E9),0)</f>
        <v/>
      </c>
    </row>
    <row r="8">
      <c r="A8" s="3" t="inlineStr">
        <is>
          <t>Kumulierter Cashflow (Endjahr)</t>
        </is>
      </c>
      <c r="B8" s="4">
        <f>Projections!F9</f>
        <v/>
      </c>
    </row>
    <row r="10">
      <c r="A10" s="3" t="inlineStr">
        <is>
          <t>Kernaussage</t>
        </is>
      </c>
      <c r="B10" s="6" t="inlineStr">
        <is>
          <t>Neura sollte einen phasenweisen Markteintritt verfolgen, der sich zunächst auf hochkomplexe Dienstleistungssektoren (z. B. spezialisierte Pflege, Logistik-Hubs) konzentriert, wo die kognitive Adaptivität (AURA AI) zwingend erforderlich ist. Die größte strategische Herausforderung ist nicht die Markt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</cols>
  <sheetData>
    <row r="1">
      <c r="A1" s="1" t="inlineStr">
        <is>
          <t>Annahmen</t>
        </is>
      </c>
    </row>
    <row r="2">
      <c r="A2" s="2" t="inlineStr">
        <is>
          <t>2026-06-01</t>
        </is>
      </c>
    </row>
    <row r="3">
      <c r="A3" s="2" t="inlineStr">
        <is>
          <t>NUR gelbe Zellen bearbeiten — alle anderen Tabs rechnen daraus neu.</t>
        </is>
      </c>
    </row>
    <row r="4">
      <c r="A4" s="3" t="inlineStr">
        <is>
          <t>Einmalinvestition</t>
        </is>
      </c>
      <c r="B4" s="7" t="n">
        <v>2000000</v>
      </c>
      <c r="C4" s="2" t="inlineStr">
        <is>
          <t>EUR</t>
        </is>
      </c>
    </row>
    <row r="5">
      <c r="A5" s="3" t="inlineStr">
        <is>
          <t>Umsatz Jahr 1</t>
        </is>
      </c>
      <c r="B5" s="7" t="n">
        <v>1500000</v>
      </c>
      <c r="C5" s="2" t="inlineStr">
        <is>
          <t>EUR</t>
        </is>
      </c>
    </row>
    <row r="6">
      <c r="A6" s="3" t="inlineStr">
        <is>
          <t>Umsatzwachstum p.a.</t>
        </is>
      </c>
      <c r="B6" s="8" t="n">
        <v>0.3</v>
      </c>
      <c r="C6" s="2" t="inlineStr">
        <is>
          <t>%</t>
        </is>
      </c>
    </row>
    <row r="7">
      <c r="A7" s="3" t="inlineStr">
        <is>
          <t>OpEx Jahr 1</t>
        </is>
      </c>
      <c r="B7" s="7" t="n">
        <v>900000</v>
      </c>
      <c r="C7" s="2" t="inlineStr">
        <is>
          <t>EUR</t>
        </is>
      </c>
    </row>
    <row r="8">
      <c r="A8" s="3" t="inlineStr">
        <is>
          <t>OpEx-Wachstum p.a.</t>
        </is>
      </c>
      <c r="B8" s="8" t="n">
        <v>0.15</v>
      </c>
      <c r="C8" s="2" t="inlineStr">
        <is>
          <t>%</t>
        </is>
      </c>
    </row>
    <row r="9">
      <c r="A9" s="3" t="inlineStr">
        <is>
          <t>Diskontsatz (NPV)</t>
        </is>
      </c>
      <c r="B9" s="8" t="n">
        <v>0.12</v>
      </c>
      <c r="C9" s="2" t="inlineStr">
        <is>
          <t>%</t>
        </is>
      </c>
    </row>
    <row r="11">
      <c r="A11" s="3" t="inlineStr">
        <is>
          <t>Adressierbare Marktgröße (TAM) für kognitive Robotik in Japan</t>
        </is>
      </c>
      <c r="B11" s="7" t="n">
        <v>500000000</v>
      </c>
      <c r="C11" s="2" t="inlineStr">
        <is>
          <t>EUR</t>
        </is>
      </c>
    </row>
    <row r="12">
      <c r="A12" s="3" t="inlineStr">
        <is>
          <t>Anteil des Marktes, der durch kognitive Robotik adressiert werden kann (Year 1)</t>
        </is>
      </c>
      <c r="B12" s="7" t="n">
        <v>0.01</v>
      </c>
      <c r="C12" s="2" t="inlineStr">
        <is>
          <t>Decimal</t>
        </is>
      </c>
    </row>
    <row r="13">
      <c r="A13" s="3" t="inlineStr">
        <is>
          <t>Jährliche Kosten für lokale Compliance und Rechtsberatung (Initial)</t>
        </is>
      </c>
      <c r="B13" s="7" t="n">
        <v>300000</v>
      </c>
      <c r="C13" s="2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Projektionen</t>
        </is>
      </c>
    </row>
    <row r="2">
      <c r="A2" s="2" t="inlineStr">
        <is>
          <t>2026-06-01</t>
        </is>
      </c>
    </row>
    <row r="3">
      <c r="A3" s="2" t="inlineStr">
        <is>
          <t>Formelbasiert aus 'Annahmen'.</t>
        </is>
      </c>
    </row>
    <row r="5">
      <c r="A5" s="9" t="inlineStr">
        <is>
          <t>Jahr</t>
        </is>
      </c>
      <c r="B5" s="9" t="inlineStr">
        <is>
          <t>Umsatz</t>
        </is>
      </c>
      <c r="C5" s="9" t="inlineStr">
        <is>
          <t>OpEx</t>
        </is>
      </c>
      <c r="D5" s="9" t="inlineStr">
        <is>
          <t>EBITDA</t>
        </is>
      </c>
      <c r="E5" s="9" t="inlineStr">
        <is>
          <t>Cashflow</t>
        </is>
      </c>
      <c r="F5" s="9" t="inlineStr">
        <is>
          <t>Kumulierter Cashflow</t>
        </is>
      </c>
    </row>
    <row r="6">
      <c r="A6" s="10" t="n">
        <v>0</v>
      </c>
      <c r="B6" t="n">
        <v>0</v>
      </c>
      <c r="C6" t="n">
        <v>0</v>
      </c>
      <c r="D6" t="n">
        <v>0</v>
      </c>
      <c r="E6" s="11">
        <f>-Assumptions!$B$4</f>
        <v/>
      </c>
      <c r="F6" s="11">
        <f>E6</f>
        <v/>
      </c>
    </row>
    <row r="7">
      <c r="A7" s="10" t="n">
        <v>1</v>
      </c>
      <c r="B7" s="11">
        <f>Assumptions!$B$5</f>
        <v/>
      </c>
      <c r="C7" s="11">
        <f>Assumptions!$B$7</f>
        <v/>
      </c>
      <c r="D7" s="11">
        <f>B7-C7</f>
        <v/>
      </c>
      <c r="E7" s="11">
        <f>D7</f>
        <v/>
      </c>
      <c r="F7" s="11">
        <f>F6+E7</f>
        <v/>
      </c>
    </row>
    <row r="8">
      <c r="A8" s="10" t="n">
        <v>2</v>
      </c>
      <c r="B8" s="11">
        <f>B7*(1+Assumptions!$B$6)</f>
        <v/>
      </c>
      <c r="C8" s="11">
        <f>C7*(1+Assumptions!$B$8)</f>
        <v/>
      </c>
      <c r="D8" s="11">
        <f>B8-C8</f>
        <v/>
      </c>
      <c r="E8" s="11">
        <f>D8</f>
        <v/>
      </c>
      <c r="F8" s="11">
        <f>F7+E8</f>
        <v/>
      </c>
    </row>
    <row r="9">
      <c r="A9" s="10" t="n">
        <v>3</v>
      </c>
      <c r="B9" s="11">
        <f>B8*(1+Assumptions!$B$6)</f>
        <v/>
      </c>
      <c r="C9" s="11">
        <f>C8*(1+Assumptions!$B$8)</f>
        <v/>
      </c>
      <c r="D9" s="11">
        <f>B9-C9</f>
        <v/>
      </c>
      <c r="E9" s="11">
        <f>D9</f>
        <v/>
      </c>
      <c r="F9" s="11">
        <f>F8+E9</f>
        <v/>
      </c>
    </row>
  </sheetData>
  <conditionalFormatting sqref="F7">
    <cfRule type="expression" priority="1" dxfId="0">
      <formula>F7&gt;=0</formula>
    </cfRule>
    <cfRule type="expression" priority="2" dxfId="1">
      <formula>F7&lt;0</formula>
    </cfRule>
  </conditionalFormatting>
  <conditionalFormatting sqref="F8">
    <cfRule type="expression" priority="3" dxfId="0">
      <formula>F8&gt;=0</formula>
    </cfRule>
    <cfRule type="expression" priority="4" dxfId="1">
      <formula>F8&lt;0</formula>
    </cfRule>
  </conditionalFormatting>
  <conditionalFormatting sqref="F9">
    <cfRule type="expression" priority="5" dxfId="0">
      <formula>F9&gt;=0</formula>
    </cfRule>
    <cfRule type="expression" priority="6" dxfId="1">
      <formula>F9&lt;0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Szenarien</t>
        </is>
      </c>
    </row>
    <row r="2">
      <c r="A2" s="2" t="inlineStr">
        <is>
          <t>2026-06-01</t>
        </is>
      </c>
    </row>
    <row r="3">
      <c r="A3" s="2" t="inlineStr">
        <is>
          <t>Gelbe Multiplikatoren anpassen — NPV je Szenario rechnet neu.</t>
        </is>
      </c>
    </row>
    <row r="5">
      <c r="A5" s="9" t="inlineStr">
        <is>
          <t>Szenario</t>
        </is>
      </c>
      <c r="B5" s="9" t="inlineStr">
        <is>
          <t>Umsatz-Faktor</t>
        </is>
      </c>
      <c r="C5" s="9" t="inlineStr">
        <is>
          <t>Kosten-Faktor</t>
        </is>
      </c>
      <c r="D5" s="9" t="inlineStr">
        <is>
          <t>NPV</t>
        </is>
      </c>
    </row>
    <row r="6">
      <c r="A6" s="3" t="inlineStr">
        <is>
          <t>Base</t>
        </is>
      </c>
      <c r="B6" s="12" t="n">
        <v>1</v>
      </c>
      <c r="C6" s="12" t="n">
        <v>1</v>
      </c>
      <c r="D6" s="4">
        <f>-Assumptions!$B$4+NPV(Assumptions!$B$9,(Projections!B7:B9*$B$6)-(Projections!C7:C9*$C$6))</f>
        <v/>
      </c>
    </row>
    <row r="7">
      <c r="A7" s="3" t="inlineStr">
        <is>
          <t>Optimistisch</t>
        </is>
      </c>
      <c r="B7" s="12" t="n">
        <v>1.2</v>
      </c>
      <c r="C7" s="12" t="n">
        <v>0.9</v>
      </c>
      <c r="D7" s="4">
        <f>-Assumptions!$B$4+NPV(Assumptions!$B$9,(Projections!B7:B9*$B$7)-(Projections!C7:C9*$C$7))</f>
        <v/>
      </c>
    </row>
    <row r="8">
      <c r="A8" s="3" t="inlineStr">
        <is>
          <t>Pessimistisch</t>
        </is>
      </c>
      <c r="B8" s="12" t="n">
        <v>0.8</v>
      </c>
      <c r="C8" s="12" t="n">
        <v>1.15</v>
      </c>
      <c r="D8" s="4">
        <f>-Assumptions!$B$4+NPV(Assumptions!$B$9,(Projections!B7:B9*$B$8)-(Projections!C7:C9*$C$8))</f>
        <v/>
      </c>
    </row>
  </sheetData>
  <conditionalFormatting sqref="D6">
    <cfRule type="expression" priority="1" dxfId="0">
      <formula>D6&gt;=0</formula>
    </cfRule>
    <cfRule type="expression" priority="2" dxfId="1">
      <formula>D6&lt;0</formula>
    </cfRule>
  </conditionalFormatting>
  <conditionalFormatting sqref="D7">
    <cfRule type="expression" priority="3" dxfId="0">
      <formula>D7&gt;=0</formula>
    </cfRule>
    <cfRule type="expression" priority="4" dxfId="1">
      <formula>D7&lt;0</formula>
    </cfRule>
  </conditionalFormatting>
  <conditionalFormatting sqref="D8">
    <cfRule type="expression" priority="5" dxfId="0">
      <formula>D8&gt;=0</formula>
    </cfRule>
    <cfRule type="expression" priority="6" dxfId="1">
      <formula>D8&lt;0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44" customWidth="1" min="4" max="4"/>
    <col width="12" customWidth="1" min="5" max="5"/>
  </cols>
  <sheetData>
    <row r="1">
      <c r="A1" s="1" t="inlineStr">
        <is>
          <t>Quellen &amp; Audit-Trail</t>
        </is>
      </c>
    </row>
    <row r="2">
      <c r="A2" s="2" t="inlineStr">
        <is>
          <t>2026-06-01</t>
        </is>
      </c>
    </row>
    <row r="3">
      <c r="A3" s="2" t="inlineStr">
        <is>
          <t>Herkunft jeder Annahme.</t>
        </is>
      </c>
    </row>
    <row r="5">
      <c r="A5" s="9" t="inlineStr">
        <is>
          <t>Annahme</t>
        </is>
      </c>
      <c r="B5" s="9" t="inlineStr">
        <is>
          <t>Wert</t>
        </is>
      </c>
      <c r="C5" s="9" t="inlineStr">
        <is>
          <t>Einheit</t>
        </is>
      </c>
      <c r="D5" s="9" t="inlineStr">
        <is>
          <t>Quelle</t>
        </is>
      </c>
      <c r="E5" s="9" t="inlineStr">
        <is>
          <t>Konfidenz</t>
        </is>
      </c>
    </row>
    <row r="6">
      <c r="A6" t="inlineStr">
        <is>
          <t>Adressierbare Marktgröße (TAM) für kognitive Robotik in Japan</t>
        </is>
      </c>
      <c r="B6" s="13" t="n">
        <v>500000000</v>
      </c>
      <c r="C6" t="inlineStr">
        <is>
          <t>EUR</t>
        </is>
      </c>
      <c r="D6" s="6" t="inlineStr">
        <is>
          <t>Experten-Schätzung basierend auf dem Bedarf an Service-Robotik (Pflege/Logistik)</t>
        </is>
      </c>
      <c r="E6" s="2" t="inlineStr">
        <is>
          <t>Estimate</t>
        </is>
      </c>
    </row>
    <row r="7">
      <c r="A7" t="inlineStr">
        <is>
          <t>Anteil des Marktes, der durch kognitive Robotik adressiert werden kann (Year 1)</t>
        </is>
      </c>
      <c r="B7" s="13" t="n">
        <v>0.01</v>
      </c>
      <c r="C7" t="inlineStr">
        <is>
          <t>Decimal</t>
        </is>
      </c>
      <c r="D7" s="6" t="inlineStr">
        <is>
          <t>Pilotprojekt-Schätzung</t>
        </is>
      </c>
      <c r="E7" s="2" t="inlineStr">
        <is>
          <t>Estimate</t>
        </is>
      </c>
    </row>
    <row r="8">
      <c r="A8" t="inlineStr">
        <is>
          <t>Jährliche Kosten für lokale Compliance und Rechtsberatung (Initial)</t>
        </is>
      </c>
      <c r="B8" s="13" t="n">
        <v>300000</v>
      </c>
      <c r="C8" t="inlineStr">
        <is>
          <t>EUR</t>
        </is>
      </c>
      <c r="D8" s="6" t="inlineStr">
        <is>
          <t>Lokale Experten-Schätzung</t>
        </is>
      </c>
      <c r="E8" s="2" t="inlineStr">
        <is>
          <t>Estimate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2026-06-01T19:05:45Z</dcterms:created>
  <dcterms:modified xmlns:dcterms="http://purl.org/dc/terms/" xmlns:xsi="http://www.w3.org/2001/XMLSchema-instance" xsi:type="dcterms:W3CDTF">2026-06-01T19:05:45Z</dcterms:modified>
</cp:coreProperties>
</file>